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laude Code\properties\"/>
    </mc:Choice>
  </mc:AlternateContent>
  <xr:revisionPtr revIDLastSave="0" documentId="13_ncr:1_{059A5F14-46B4-4036-A5D6-0CB91D1A1AC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🎯 Active Leads" sheetId="1" r:id="rId1"/>
    <sheet name="📊 Dashboard" sheetId="2" r:id="rId2"/>
    <sheet name="💬 WhatsApp Groups" sheetId="3" r:id="rId3"/>
    <sheet name="📅 LinkedIn Schedu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2" l="1"/>
  <c r="C21" i="2"/>
  <c r="C20" i="2"/>
  <c r="C19" i="2"/>
  <c r="C18" i="2"/>
  <c r="C17" i="2"/>
  <c r="C16" i="2"/>
  <c r="F12" i="2"/>
  <c r="F11" i="2"/>
  <c r="F9" i="2"/>
  <c r="G5" i="2"/>
  <c r="F5" i="2"/>
  <c r="E5" i="2"/>
  <c r="D5" i="2"/>
  <c r="C5" i="2"/>
  <c r="B5" i="2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D11" i="2" l="1"/>
  <c r="F10" i="2"/>
  <c r="D22" i="2"/>
  <c r="D18" i="2"/>
  <c r="D20" i="2"/>
  <c r="D17" i="2"/>
  <c r="D16" i="2"/>
  <c r="D12" i="2"/>
  <c r="D19" i="2"/>
  <c r="D21" i="2"/>
  <c r="D9" i="2"/>
  <c r="D10" i="2"/>
</calcChain>
</file>

<file path=xl/sharedStrings.xml><?xml version="1.0" encoding="utf-8"?>
<sst xmlns="http://schemas.openxmlformats.org/spreadsheetml/2006/main" count="234" uniqueCount="166">
  <si>
    <t>PROPBOT — Lead Tracker  |  propbot.co.in</t>
  </si>
  <si>
    <t>ID</t>
  </si>
  <si>
    <t>Date Found</t>
  </si>
  <si>
    <t>Agent Name</t>
  </si>
  <si>
    <t>Phone / WhatsApp</t>
  </si>
  <si>
    <t>City</t>
  </si>
  <si>
    <t>Source</t>
  </si>
  <si>
    <t>Agent Type</t>
  </si>
  <si>
    <t>DM Sent?</t>
  </si>
  <si>
    <t>DM Date</t>
  </si>
  <si>
    <t>Response</t>
  </si>
  <si>
    <t>Status</t>
  </si>
  <si>
    <t>Trial Start</t>
  </si>
  <si>
    <t>Follow-Up Date</t>
  </si>
  <si>
    <t>Notes</t>
  </si>
  <si>
    <t>09/04/2026</t>
  </si>
  <si>
    <t>Rahul Sharma</t>
  </si>
  <si>
    <t>+91 98765 43210</t>
  </si>
  <si>
    <t>Mumbai</t>
  </si>
  <si>
    <t>99acres</t>
  </si>
  <si>
    <t>Independent Broker</t>
  </si>
  <si>
    <t>Yes</t>
  </si>
  <si>
    <t>Interested</t>
  </si>
  <si>
    <t>Trial</t>
  </si>
  <si>
    <t>10/04/2026</t>
  </si>
  <si>
    <t>14/04/2026</t>
  </si>
  <si>
    <t>Wants demo call — follow up Thursday</t>
  </si>
  <si>
    <t>Priya Mehta</t>
  </si>
  <si>
    <t>+91 87654 32109</t>
  </si>
  <si>
    <t>Pune</t>
  </si>
  <si>
    <t>LinkedIn</t>
  </si>
  <si>
    <t>Small Brokerage</t>
  </si>
  <si>
    <t>No reply</t>
  </si>
  <si>
    <t>DM Sent</t>
  </si>
  <si>
    <t>12/04/2026</t>
  </si>
  <si>
    <t>2nd follow-up due</t>
  </si>
  <si>
    <t>Vikram Nair</t>
  </si>
  <si>
    <t>+91 76543 21098</t>
  </si>
  <si>
    <t>Bengaluru</t>
  </si>
  <si>
    <t>WhatsApp Group</t>
  </si>
  <si>
    <t>08/04/2026</t>
  </si>
  <si>
    <t>Not interested</t>
  </si>
  <si>
    <t>Closed</t>
  </si>
  <si>
    <t>Said he uses 99acres CRM already</t>
  </si>
  <si>
    <t>Anita Desai</t>
  </si>
  <si>
    <t>+91 65432 10987</t>
  </si>
  <si>
    <t>Delhi</t>
  </si>
  <si>
    <t>MagicBricks</t>
  </si>
  <si>
    <t>Builder Sales Team</t>
  </si>
  <si>
    <t>No</t>
  </si>
  <si>
    <t>New</t>
  </si>
  <si>
    <t>Found from DLF listing — send W1 template</t>
  </si>
  <si>
    <t>Suresh Kumar</t>
  </si>
  <si>
    <t>+91 54321 09876</t>
  </si>
  <si>
    <t>Hyderabad</t>
  </si>
  <si>
    <t>Facebook Group</t>
  </si>
  <si>
    <t>07/04/2026</t>
  </si>
  <si>
    <t>Wants pricing</t>
  </si>
  <si>
    <t>Qualified</t>
  </si>
  <si>
    <t>Shared pricing page — check if signed up</t>
  </si>
  <si>
    <t>PROPBOT — Outreach Dashboard</t>
  </si>
  <si>
    <t>Last updated: 09 Apr 2026</t>
  </si>
  <si>
    <t>Total Agents Found</t>
  </si>
  <si>
    <t>DMs Sent</t>
  </si>
  <si>
    <t>Replies Received</t>
  </si>
  <si>
    <t>Active Trials</t>
  </si>
  <si>
    <t>Paid Subscribers</t>
  </si>
  <si>
    <t>Not Interested</t>
  </si>
  <si>
    <t>Conversion Rates</t>
  </si>
  <si>
    <t>Metric</t>
  </si>
  <si>
    <t>Formula</t>
  </si>
  <si>
    <t>Value</t>
  </si>
  <si>
    <t>Target</t>
  </si>
  <si>
    <t>Reply Rate</t>
  </si>
  <si>
    <t>Replies / DMs Sent</t>
  </si>
  <si>
    <t>5%</t>
  </si>
  <si>
    <t>Trial Conv. Rate</t>
  </si>
  <si>
    <t>Trials / Replies</t>
  </si>
  <si>
    <t>30%</t>
  </si>
  <si>
    <t>Paid Conv. Rate</t>
  </si>
  <si>
    <t>Paid / Trials</t>
  </si>
  <si>
    <t>15%</t>
  </si>
  <si>
    <t>Overall Conversion</t>
  </si>
  <si>
    <t>Paid / DMs Sent</t>
  </si>
  <si>
    <t>1%</t>
  </si>
  <si>
    <t>Leads by Source</t>
  </si>
  <si>
    <t>Count</t>
  </si>
  <si>
    <t>% of Total</t>
  </si>
  <si>
    <t>Referral</t>
  </si>
  <si>
    <t>Other</t>
  </si>
  <si>
    <t>PROPBOT — WhatsApp &amp; Telegram Groups Tracker</t>
  </si>
  <si>
    <t>Group Name</t>
  </si>
  <si>
    <t>Platform</t>
  </si>
  <si>
    <t>Members (est.)</t>
  </si>
  <si>
    <t>Joined?</t>
  </si>
  <si>
    <t>Last Posted</t>
  </si>
  <si>
    <t>Responses</t>
  </si>
  <si>
    <t>Mumbai Real Estate Brokers</t>
  </si>
  <si>
    <t>WhatsApp</t>
  </si>
  <si>
    <t>~250</t>
  </si>
  <si>
    <t>0</t>
  </si>
  <si>
    <t>Find invite via CREDAI Mumbai chapter</t>
  </si>
  <si>
    <t>Delhi NCR Property Network</t>
  </si>
  <si>
    <t>~180</t>
  </si>
  <si>
    <t>Google: 'Delhi broker WhatsApp group invite 2025'</t>
  </si>
  <si>
    <t>Bangalore Brokers Network</t>
  </si>
  <si>
    <t>~200</t>
  </si>
  <si>
    <t>Try NAR India Karnataka chapter</t>
  </si>
  <si>
    <t>Real Estate Agents India</t>
  </si>
  <si>
    <t>Facebook</t>
  </si>
  <si>
    <t>100K+</t>
  </si>
  <si>
    <t>Promo posts allowed on Fridays</t>
  </si>
  <si>
    <t>PropTech India</t>
  </si>
  <si>
    <t>Telegram</t>
  </si>
  <si>
    <t>~2K</t>
  </si>
  <si>
    <t>Search Telegram: PropTech India</t>
  </si>
  <si>
    <t>Pune Property Professionals</t>
  </si>
  <si>
    <t>~150</t>
  </si>
  <si>
    <t>Contact CREDAI Pune for invite</t>
  </si>
  <si>
    <t>PROPBOT — LinkedIn 4-Week Posting Schedule</t>
  </si>
  <si>
    <t>Week</t>
  </si>
  <si>
    <t>Day</t>
  </si>
  <si>
    <t>Date</t>
  </si>
  <si>
    <t>Post Title</t>
  </si>
  <si>
    <t>Format</t>
  </si>
  <si>
    <t>Week 1</t>
  </si>
  <si>
    <t>Mon</t>
  </si>
  <si>
    <t>13 Apr</t>
  </si>
  <si>
    <t>Founder Story: Why I Built PropBot</t>
  </si>
  <si>
    <t>Text + CTA</t>
  </si>
  <si>
    <t>Pending</t>
  </si>
  <si>
    <t>Wed</t>
  </si>
  <si>
    <t>15 Apr</t>
  </si>
  <si>
    <t>The Missed Call Problem in Real Estate</t>
  </si>
  <si>
    <t>Text post</t>
  </si>
  <si>
    <t>Fri</t>
  </si>
  <si>
    <t>17 Apr</t>
  </si>
  <si>
    <t>DEMO: PropBot calling a lead at 11:47 PM</t>
  </si>
  <si>
    <t>Video post</t>
  </si>
  <si>
    <t>Week 2</t>
  </si>
  <si>
    <t>20 Apr</t>
  </si>
  <si>
    <t>The Math: AI vs Telecaller (₹999 vs ₹18K)</t>
  </si>
  <si>
    <t>22 Apr</t>
  </si>
  <si>
    <t>First Users Milestone + testimonial</t>
  </si>
  <si>
    <t>Screenshot + Text</t>
  </si>
  <si>
    <t>24 Apr</t>
  </si>
  <si>
    <t>Objection Buster: “Will clients know it’s AI?”</t>
  </si>
  <si>
    <t>Week 3</t>
  </si>
  <si>
    <t>27 Apr</t>
  </si>
  <si>
    <t>Case Study: Broker closed 2 extra deals</t>
  </si>
  <si>
    <t>Text + Photo</t>
  </si>
  <si>
    <t>29 Apr</t>
  </si>
  <si>
    <t>Feature: Hindi + English voice support</t>
  </si>
  <si>
    <t>Audio clip post</t>
  </si>
  <si>
    <t>01 May</t>
  </si>
  <si>
    <t>Comparison: DIY vs Telecaller vs PropBot</t>
  </si>
  <si>
    <t>Carousel (5 slides)</t>
  </si>
  <si>
    <t>Week 4</t>
  </si>
  <si>
    <t>04 May</t>
  </si>
  <si>
    <t>30-day Milestone: X subscribers, X trials</t>
  </si>
  <si>
    <t>Text + Stats graphic</t>
  </si>
  <si>
    <t>06 May</t>
  </si>
  <si>
    <t>FAQ: Top 5 questions about PropBot</t>
  </si>
  <si>
    <t>08 May</t>
  </si>
  <si>
    <t>Referral Programme Launch</t>
  </si>
  <si>
    <t>TIP: Change Status to 'Published' (green) or 'Skip' (grey) as you go. Review every Monday morning.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</si>
</sst>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b/>
      <sz val="14"/>
      <color rgb="FF1A5276"/>
      <name val="Arial"/>
    </font>
    <font>
      <b/>
      <sz val="11"/>
      <color rgb="FFFFFFFF"/>
      <name val="Arial"/>
    </font>
    <font>
      <sz val="10"/>
      <color rgb="FF1C2833"/>
      <name val="Arial"/>
    </font>
    <font>
      <b/>
      <sz val="10"/>
      <color rgb="FF1E8449"/>
      <name val="Arial"/>
    </font>
    <font>
      <b/>
      <sz val="10"/>
      <color rgb="FF1C2833"/>
      <name val="Arial"/>
    </font>
    <font>
      <sz val="10"/>
      <color rgb="FF5D6D7E"/>
      <name val="Arial"/>
    </font>
    <font>
      <b/>
      <sz val="16"/>
      <color rgb="FF1A5276"/>
      <name val="Arial"/>
    </font>
    <font>
      <i/>
      <sz val="10"/>
      <color rgb="FF5D6D7E"/>
      <name val="Arial"/>
    </font>
    <font>
      <b/>
      <sz val="9"/>
      <color rgb="FF2E86C1"/>
      <name val="Arial"/>
    </font>
    <font>
      <b/>
      <sz val="24"/>
      <color rgb="FF2E86C1"/>
      <name val="Arial"/>
    </font>
    <font>
      <b/>
      <sz val="9"/>
      <color rgb="FF1E8449"/>
      <name val="Arial"/>
    </font>
    <font>
      <b/>
      <sz val="24"/>
      <color rgb="FF1E8449"/>
      <name val="Arial"/>
    </font>
    <font>
      <b/>
      <sz val="9"/>
      <color rgb="FFE67E22"/>
      <name val="Arial"/>
    </font>
    <font>
      <b/>
      <sz val="24"/>
      <color rgb="FFE67E22"/>
      <name val="Arial"/>
    </font>
    <font>
      <b/>
      <sz val="9"/>
      <color rgb="FF145A32"/>
      <name val="Arial"/>
    </font>
    <font>
      <b/>
      <sz val="24"/>
      <color rgb="FF145A32"/>
      <name val="Arial"/>
    </font>
    <font>
      <b/>
      <sz val="9"/>
      <color rgb="FFC0392B"/>
      <name val="Arial"/>
    </font>
    <font>
      <b/>
      <sz val="24"/>
      <color rgb="FFC0392B"/>
      <name val="Arial"/>
    </font>
    <font>
      <b/>
      <sz val="12"/>
      <color rgb="FF1A5276"/>
      <name val="Arial"/>
    </font>
    <font>
      <b/>
      <sz val="10"/>
      <color rgb="FFFFFFFF"/>
      <name val="Arial"/>
    </font>
    <font>
      <b/>
      <sz val="10"/>
      <color rgb="FF2E86C1"/>
      <name val="Arial"/>
    </font>
    <font>
      <b/>
      <sz val="10"/>
      <color rgb="FFE67E22"/>
      <name val="Arial"/>
    </font>
  </fonts>
  <fills count="1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1A5276"/>
      </patternFill>
    </fill>
    <fill>
      <patternFill patternType="solid">
        <fgColor rgb="FFD1F2EB"/>
      </patternFill>
    </fill>
    <fill>
      <patternFill patternType="solid">
        <fgColor rgb="FFFDEBD0"/>
      </patternFill>
    </fill>
    <fill>
      <patternFill patternType="solid">
        <fgColor rgb="FFEEEEEE"/>
      </patternFill>
    </fill>
    <fill>
      <patternFill patternType="solid">
        <fgColor rgb="FFF9E79F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2E86C1"/>
      </patternFill>
    </fill>
    <fill>
      <patternFill patternType="solid">
        <fgColor rgb="FFEBF5FB"/>
      </patternFill>
    </fill>
    <fill>
      <patternFill patternType="solid">
        <fgColor rgb="FFEAFAF1"/>
      </patternFill>
    </fill>
    <fill>
      <patternFill patternType="solid">
        <fgColor rgb="FFFDEDEC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"/>
  <sheetViews>
    <sheetView showGridLines="0" workbookViewId="0">
      <pane ySplit="2" topLeftCell="A3" activePane="bottomLeft" state="frozen"/>
      <selection pane="bottomLeft" activeCell="K8" sqref="K8"/>
    </sheetView>
  </sheetViews>
  <sheetFormatPr defaultRowHeight="14.4" x14ac:dyDescent="0.3"/>
  <cols>
    <col min="1" max="1" width="5" customWidth="1"/>
    <col min="2" max="2" width="13" customWidth="1"/>
    <col min="3" max="3" width="20" customWidth="1"/>
    <col min="4" max="4" width="18" customWidth="1"/>
    <col min="5" max="5" width="14" customWidth="1"/>
    <col min="6" max="6" width="16" customWidth="1"/>
    <col min="7" max="7" width="18" customWidth="1"/>
    <col min="8" max="8" width="12" customWidth="1"/>
    <col min="9" max="9" width="13" customWidth="1"/>
    <col min="10" max="10" width="16" customWidth="1"/>
    <col min="11" max="11" width="14" customWidth="1"/>
    <col min="12" max="12" width="13" customWidth="1"/>
    <col min="13" max="13" width="16" customWidth="1"/>
    <col min="14" max="14" width="30" customWidth="1"/>
  </cols>
  <sheetData>
    <row r="1" spans="1:14" ht="31.95" customHeight="1" x14ac:dyDescent="0.3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28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9.95" customHeight="1" x14ac:dyDescent="0.3">
      <c r="A3" s="2">
        <v>1</v>
      </c>
      <c r="B3" s="2" t="s">
        <v>15</v>
      </c>
      <c r="C3" s="3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15</v>
      </c>
      <c r="J3" s="2" t="s">
        <v>22</v>
      </c>
      <c r="K3" s="4" t="s">
        <v>23</v>
      </c>
      <c r="L3" s="2" t="s">
        <v>24</v>
      </c>
      <c r="M3" s="2" t="s">
        <v>25</v>
      </c>
      <c r="N3" s="3" t="s">
        <v>26</v>
      </c>
    </row>
    <row r="4" spans="1:14" ht="19.95" customHeight="1" x14ac:dyDescent="0.3">
      <c r="A4" s="2">
        <v>2</v>
      </c>
      <c r="B4" s="2" t="s">
        <v>15</v>
      </c>
      <c r="C4" s="3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21</v>
      </c>
      <c r="I4" s="2" t="s">
        <v>15</v>
      </c>
      <c r="J4" s="2" t="s">
        <v>32</v>
      </c>
      <c r="K4" s="5" t="s">
        <v>33</v>
      </c>
      <c r="L4" s="2"/>
      <c r="M4" s="2" t="s">
        <v>34</v>
      </c>
      <c r="N4" s="3" t="s">
        <v>35</v>
      </c>
    </row>
    <row r="5" spans="1:14" ht="19.95" customHeight="1" x14ac:dyDescent="0.3">
      <c r="A5" s="2">
        <v>3</v>
      </c>
      <c r="B5" s="2" t="s">
        <v>15</v>
      </c>
      <c r="C5" s="3" t="s">
        <v>36</v>
      </c>
      <c r="D5" s="2" t="s">
        <v>37</v>
      </c>
      <c r="E5" s="2" t="s">
        <v>38</v>
      </c>
      <c r="F5" s="2" t="s">
        <v>39</v>
      </c>
      <c r="G5" s="2" t="s">
        <v>20</v>
      </c>
      <c r="H5" s="2" t="s">
        <v>21</v>
      </c>
      <c r="I5" s="2" t="s">
        <v>40</v>
      </c>
      <c r="J5" s="2" t="s">
        <v>41</v>
      </c>
      <c r="K5" s="6" t="s">
        <v>42</v>
      </c>
      <c r="L5" s="2"/>
      <c r="M5" s="2"/>
      <c r="N5" s="3" t="s">
        <v>43</v>
      </c>
    </row>
    <row r="6" spans="1:14" ht="19.95" customHeight="1" x14ac:dyDescent="0.3">
      <c r="A6" s="2">
        <v>4</v>
      </c>
      <c r="B6" s="2" t="s">
        <v>15</v>
      </c>
      <c r="C6" s="3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/>
      <c r="J6" s="2"/>
      <c r="K6" s="7" t="s">
        <v>50</v>
      </c>
      <c r="L6" s="2"/>
      <c r="M6" s="2" t="s">
        <v>24</v>
      </c>
      <c r="N6" s="3" t="s">
        <v>51</v>
      </c>
    </row>
    <row r="7" spans="1:14" ht="19.95" customHeight="1" x14ac:dyDescent="0.3">
      <c r="A7" s="2">
        <v>5</v>
      </c>
      <c r="B7" s="2" t="s">
        <v>15</v>
      </c>
      <c r="C7" s="3" t="s">
        <v>52</v>
      </c>
      <c r="D7" s="2" t="s">
        <v>53</v>
      </c>
      <c r="E7" s="2" t="s">
        <v>54</v>
      </c>
      <c r="F7" s="2" t="s">
        <v>55</v>
      </c>
      <c r="G7" s="2" t="s">
        <v>31</v>
      </c>
      <c r="H7" s="2" t="s">
        <v>21</v>
      </c>
      <c r="I7" s="2" t="s">
        <v>56</v>
      </c>
      <c r="J7" s="2" t="s">
        <v>57</v>
      </c>
      <c r="K7" s="8" t="s">
        <v>58</v>
      </c>
      <c r="L7" s="2"/>
      <c r="M7" s="2" t="s">
        <v>24</v>
      </c>
      <c r="N7" s="3" t="s">
        <v>59</v>
      </c>
    </row>
    <row r="8" spans="1:14" ht="19.95" customHeight="1" x14ac:dyDescent="0.3">
      <c r="A8" s="9" t="str">
        <f>IF(C8&lt;&gt;"",COUNTA($C$3:C8),"")</f>
        <v/>
      </c>
      <c r="B8" s="2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3"/>
    </row>
    <row r="9" spans="1:14" ht="19.95" customHeight="1" x14ac:dyDescent="0.3">
      <c r="A9" s="9" t="str">
        <f>IF(C9&lt;&gt;"",COUNTA($C$3:C9),"")</f>
        <v/>
      </c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3"/>
    </row>
    <row r="10" spans="1:14" ht="19.95" customHeight="1" x14ac:dyDescent="0.3">
      <c r="A10" s="9" t="str">
        <f>IF(C10&lt;&gt;"",COUNTA($C$3:C10),"")</f>
        <v/>
      </c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1:14" ht="19.95" customHeight="1" x14ac:dyDescent="0.3">
      <c r="A11" s="9" t="str">
        <f>IF(C11&lt;&gt;"",COUNTA($C$3:C11),"")</f>
        <v/>
      </c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1:14" ht="19.95" customHeight="1" x14ac:dyDescent="0.3">
      <c r="A12" s="9" t="str">
        <f>IF(C12&lt;&gt;"",COUNTA($C$3:C12),"")</f>
        <v/>
      </c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1:14" ht="19.95" customHeight="1" x14ac:dyDescent="0.3">
      <c r="A13" s="9" t="str">
        <f>IF(C13&lt;&gt;"",COUNTA($C$3:C13),"")</f>
        <v/>
      </c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</row>
    <row r="14" spans="1:14" ht="19.95" customHeight="1" x14ac:dyDescent="0.3">
      <c r="A14" s="9" t="str">
        <f>IF(C14&lt;&gt;"",COUNTA($C$3:C14),"")</f>
        <v/>
      </c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1:14" ht="19.95" customHeight="1" x14ac:dyDescent="0.3">
      <c r="A15" s="9" t="str">
        <f>IF(C15&lt;&gt;"",COUNTA($C$3:C15),"")</f>
        <v/>
      </c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spans="1:14" ht="19.95" customHeight="1" x14ac:dyDescent="0.3">
      <c r="A16" s="9" t="str">
        <f>IF(C16&lt;&gt;"",COUNTA($C$3:C16),"")</f>
        <v/>
      </c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spans="1:14" ht="19.95" customHeight="1" x14ac:dyDescent="0.3">
      <c r="A17" s="9" t="str">
        <f>IF(C17&lt;&gt;"",COUNTA($C$3:C17),"")</f>
        <v/>
      </c>
      <c r="B17" s="2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spans="1:14" ht="19.95" customHeight="1" x14ac:dyDescent="0.3">
      <c r="A18" s="9" t="str">
        <f>IF(C18&lt;&gt;"",COUNTA($C$3:C18),"")</f>
        <v/>
      </c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1:14" ht="19.95" customHeight="1" x14ac:dyDescent="0.3">
      <c r="A19" s="9" t="str">
        <f>IF(C19&lt;&gt;"",COUNTA($C$3:C19),"")</f>
        <v/>
      </c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spans="1:14" ht="19.95" customHeight="1" x14ac:dyDescent="0.3">
      <c r="A20" s="9" t="str">
        <f>IF(C20&lt;&gt;"",COUNTA($C$3:C20),"")</f>
        <v/>
      </c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1" spans="1:14" ht="19.95" customHeight="1" x14ac:dyDescent="0.3">
      <c r="A21" s="9" t="str">
        <f>IF(C21&lt;&gt;"",COUNTA($C$3:C21),"")</f>
        <v/>
      </c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</row>
    <row r="22" spans="1:14" ht="19.95" customHeight="1" x14ac:dyDescent="0.3">
      <c r="A22" s="9" t="str">
        <f>IF(C22&lt;&gt;"",COUNTA($C$3:C22),"")</f>
        <v/>
      </c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</row>
    <row r="23" spans="1:14" ht="19.95" customHeight="1" x14ac:dyDescent="0.3">
      <c r="A23" s="9" t="str">
        <f>IF(C23&lt;&gt;"",COUNTA($C$3:C23),"")</f>
        <v/>
      </c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</row>
    <row r="24" spans="1:14" ht="19.95" customHeight="1" x14ac:dyDescent="0.3">
      <c r="A24" s="9" t="str">
        <f>IF(C24&lt;&gt;"",COUNTA($C$3:C24),"")</f>
        <v/>
      </c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</row>
    <row r="25" spans="1:14" ht="19.95" customHeight="1" x14ac:dyDescent="0.3">
      <c r="A25" s="9" t="str">
        <f>IF(C25&lt;&gt;"",COUNTA($C$3:C25),"")</f>
        <v/>
      </c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</row>
    <row r="26" spans="1:14" ht="19.95" customHeight="1" x14ac:dyDescent="0.3">
      <c r="A26" s="9" t="str">
        <f>IF(C26&lt;&gt;"",COUNTA($C$3:C26),"")</f>
        <v/>
      </c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</row>
    <row r="27" spans="1:14" ht="19.95" customHeight="1" x14ac:dyDescent="0.3">
      <c r="A27" s="9" t="str">
        <f>IF(C27&lt;&gt;"",COUNTA($C$3:C27),"")</f>
        <v/>
      </c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</row>
    <row r="28" spans="1:14" ht="19.95" customHeight="1" x14ac:dyDescent="0.3">
      <c r="A28" s="9" t="str">
        <f>IF(C28&lt;&gt;"",COUNTA($C$3:C28),"")</f>
        <v/>
      </c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</row>
    <row r="29" spans="1:14" ht="19.95" customHeight="1" x14ac:dyDescent="0.3">
      <c r="A29" s="9" t="str">
        <f>IF(C29&lt;&gt;"",COUNTA($C$3:C29),"")</f>
        <v/>
      </c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</row>
    <row r="30" spans="1:14" ht="19.95" customHeight="1" x14ac:dyDescent="0.3">
      <c r="A30" s="9" t="str">
        <f>IF(C30&lt;&gt;"",COUNTA($C$3:C30),"")</f>
        <v/>
      </c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</row>
    <row r="31" spans="1:14" ht="19.95" customHeight="1" x14ac:dyDescent="0.3">
      <c r="A31" s="9" t="str">
        <f>IF(C31&lt;&gt;"",COUNTA($C$3:C31),"")</f>
        <v/>
      </c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</row>
    <row r="32" spans="1:14" ht="19.95" customHeight="1" x14ac:dyDescent="0.3">
      <c r="A32" s="9" t="str">
        <f>IF(C32&lt;&gt;"",COUNTA($C$3:C32),"")</f>
        <v/>
      </c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3"/>
    </row>
    <row r="33" spans="1:14" ht="19.95" customHeight="1" x14ac:dyDescent="0.3">
      <c r="A33" s="9" t="str">
        <f>IF(C33&lt;&gt;"",COUNTA($C$3:C33),"")</f>
        <v/>
      </c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</row>
    <row r="34" spans="1:14" ht="19.95" customHeight="1" x14ac:dyDescent="0.3">
      <c r="A34" s="9" t="str">
        <f>IF(C34&lt;&gt;"",COUNTA($C$3:C34),"")</f>
        <v/>
      </c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3"/>
    </row>
    <row r="35" spans="1:14" ht="19.95" customHeight="1" x14ac:dyDescent="0.3">
      <c r="A35" s="9" t="str">
        <f>IF(C35&lt;&gt;"",COUNTA($C$3:C35),"")</f>
        <v/>
      </c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3"/>
    </row>
    <row r="36" spans="1:14" ht="19.95" customHeight="1" x14ac:dyDescent="0.3">
      <c r="A36" s="9" t="str">
        <f>IF(C36&lt;&gt;"",COUNTA($C$3:C36),"")</f>
        <v/>
      </c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</row>
    <row r="37" spans="1:14" ht="19.95" customHeight="1" x14ac:dyDescent="0.3">
      <c r="A37" s="9" t="str">
        <f>IF(C37&lt;&gt;"",COUNTA($C$3:C37),"")</f>
        <v/>
      </c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3"/>
    </row>
    <row r="38" spans="1:14" ht="19.95" customHeight="1" x14ac:dyDescent="0.3">
      <c r="A38" s="9" t="str">
        <f>IF(C38&lt;&gt;"",COUNTA($C$3:C38),"")</f>
        <v/>
      </c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</row>
    <row r="39" spans="1:14" ht="19.95" customHeight="1" x14ac:dyDescent="0.3">
      <c r="A39" s="9" t="str">
        <f>IF(C39&lt;&gt;"",COUNTA($C$3:C39),"")</f>
        <v/>
      </c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</row>
    <row r="40" spans="1:14" ht="19.95" customHeight="1" x14ac:dyDescent="0.3">
      <c r="A40" s="9" t="str">
        <f>IF(C40&lt;&gt;"",COUNTA($C$3:C40),"")</f>
        <v/>
      </c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</row>
    <row r="41" spans="1:14" ht="19.95" customHeight="1" x14ac:dyDescent="0.3">
      <c r="A41" s="9" t="str">
        <f>IF(C41&lt;&gt;"",COUNTA($C$3:C41),"")</f>
        <v/>
      </c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</row>
    <row r="42" spans="1:14" ht="19.95" customHeight="1" x14ac:dyDescent="0.3">
      <c r="A42" s="9" t="str">
        <f>IF(C42&lt;&gt;"",COUNTA($C$3:C42),"")</f>
        <v/>
      </c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3"/>
    </row>
    <row r="43" spans="1:14" ht="19.95" customHeight="1" x14ac:dyDescent="0.3">
      <c r="A43" s="9" t="str">
        <f>IF(C43&lt;&gt;"",COUNTA($C$3:C43),"")</f>
        <v/>
      </c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</row>
    <row r="44" spans="1:14" ht="19.95" customHeight="1" x14ac:dyDescent="0.3">
      <c r="A44" s="9" t="str">
        <f>IF(C44&lt;&gt;"",COUNTA($C$3:C44),"")</f>
        <v/>
      </c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</row>
    <row r="45" spans="1:14" ht="19.95" customHeight="1" x14ac:dyDescent="0.3">
      <c r="A45" s="9" t="str">
        <f>IF(C45&lt;&gt;"",COUNTA($C$3:C45),"")</f>
        <v/>
      </c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</row>
    <row r="46" spans="1:14" ht="19.95" customHeight="1" x14ac:dyDescent="0.3">
      <c r="A46" s="9" t="str">
        <f>IF(C46&lt;&gt;"",COUNTA($C$3:C46),"")</f>
        <v/>
      </c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3"/>
    </row>
    <row r="47" spans="1:14" ht="19.95" customHeight="1" x14ac:dyDescent="0.3">
      <c r="A47" s="9" t="str">
        <f>IF(C47&lt;&gt;"",COUNTA($C$3:C47),"")</f>
        <v/>
      </c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3"/>
    </row>
    <row r="48" spans="1:14" ht="19.95" customHeight="1" x14ac:dyDescent="0.3">
      <c r="A48" s="9" t="str">
        <f>IF(C48&lt;&gt;"",COUNTA($C$3:C48),"")</f>
        <v/>
      </c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3"/>
    </row>
    <row r="49" spans="1:14" ht="19.95" customHeight="1" x14ac:dyDescent="0.3">
      <c r="A49" s="9" t="str">
        <f>IF(C49&lt;&gt;"",COUNTA($C$3:C49),"")</f>
        <v/>
      </c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</row>
    <row r="50" spans="1:14" ht="19.95" customHeight="1" x14ac:dyDescent="0.3">
      <c r="A50" s="9" t="str">
        <f>IF(C50&lt;&gt;"",COUNTA($C$3:C50),"")</f>
        <v/>
      </c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</row>
    <row r="51" spans="1:14" ht="19.95" customHeight="1" x14ac:dyDescent="0.3">
      <c r="A51" s="9" t="str">
        <f>IF(C51&lt;&gt;"",COUNTA($C$3:C51),"")</f>
        <v/>
      </c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</row>
    <row r="52" spans="1:14" ht="19.95" customHeight="1" x14ac:dyDescent="0.3">
      <c r="A52" s="9" t="str">
        <f>IF(C52&lt;&gt;"",COUNTA($C$3:C52),"")</f>
        <v/>
      </c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3"/>
    </row>
    <row r="53" spans="1:14" ht="19.95" customHeight="1" x14ac:dyDescent="0.3">
      <c r="A53" s="9" t="str">
        <f>IF(C53&lt;&gt;"",COUNTA($C$3:C53),"")</f>
        <v/>
      </c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3"/>
    </row>
    <row r="54" spans="1:14" ht="19.95" customHeight="1" x14ac:dyDescent="0.3">
      <c r="A54" s="9" t="str">
        <f>IF(C54&lt;&gt;"",COUNTA($C$3:C54),"")</f>
        <v/>
      </c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3"/>
    </row>
    <row r="55" spans="1:14" ht="19.95" customHeight="1" x14ac:dyDescent="0.3">
      <c r="A55" s="9" t="str">
        <f>IF(C55&lt;&gt;"",COUNTA($C$3:C55),"")</f>
        <v/>
      </c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3"/>
    </row>
    <row r="56" spans="1:14" ht="19.95" customHeight="1" x14ac:dyDescent="0.3">
      <c r="A56" s="9" t="str">
        <f>IF(C56&lt;&gt;"",COUNTA($C$3:C56),"")</f>
        <v/>
      </c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3"/>
    </row>
    <row r="57" spans="1:14" ht="19.95" customHeight="1" x14ac:dyDescent="0.3">
      <c r="A57" s="9" t="str">
        <f>IF(C57&lt;&gt;"",COUNTA($C$3:C57),"")</f>
        <v/>
      </c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3"/>
    </row>
    <row r="58" spans="1:14" ht="19.95" customHeight="1" x14ac:dyDescent="0.3">
      <c r="A58" s="9" t="str">
        <f>IF(C58&lt;&gt;"",COUNTA($C$3:C58),"")</f>
        <v/>
      </c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</row>
    <row r="59" spans="1:14" ht="19.95" customHeight="1" x14ac:dyDescent="0.3">
      <c r="A59" s="9" t="str">
        <f>IF(C59&lt;&gt;"",COUNTA($C$3:C59),"")</f>
        <v/>
      </c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3"/>
    </row>
    <row r="60" spans="1:14" ht="19.95" customHeight="1" x14ac:dyDescent="0.3">
      <c r="A60" s="9" t="str">
        <f>IF(C60&lt;&gt;"",COUNTA($C$3:C60),"")</f>
        <v/>
      </c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</row>
    <row r="61" spans="1:14" ht="19.95" customHeight="1" x14ac:dyDescent="0.3">
      <c r="A61" s="9" t="str">
        <f>IF(C61&lt;&gt;"",COUNTA($C$3:C61),"")</f>
        <v/>
      </c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3"/>
    </row>
    <row r="62" spans="1:14" ht="19.95" customHeight="1" x14ac:dyDescent="0.3">
      <c r="A62" s="9" t="str">
        <f>IF(C62&lt;&gt;"",COUNTA($C$3:C62),"")</f>
        <v/>
      </c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3"/>
    </row>
    <row r="63" spans="1:14" ht="19.95" customHeight="1" x14ac:dyDescent="0.3">
      <c r="A63" s="9" t="str">
        <f>IF(C63&lt;&gt;"",COUNTA($C$3:C63),"")</f>
        <v/>
      </c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3"/>
    </row>
    <row r="64" spans="1:14" ht="19.95" customHeight="1" x14ac:dyDescent="0.3">
      <c r="A64" s="9" t="str">
        <f>IF(C64&lt;&gt;"",COUNTA($C$3:C64),"")</f>
        <v/>
      </c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</row>
    <row r="65" spans="1:14" ht="19.95" customHeight="1" x14ac:dyDescent="0.3">
      <c r="A65" s="9" t="str">
        <f>IF(C65&lt;&gt;"",COUNTA($C$3:C65),"")</f>
        <v/>
      </c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</row>
    <row r="66" spans="1:14" ht="19.95" customHeight="1" x14ac:dyDescent="0.3">
      <c r="A66" s="9" t="str">
        <f>IF(C66&lt;&gt;"",COUNTA($C$3:C66),"")</f>
        <v/>
      </c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</row>
    <row r="67" spans="1:14" ht="19.95" customHeight="1" x14ac:dyDescent="0.3">
      <c r="A67" s="9" t="str">
        <f>IF(C67&lt;&gt;"",COUNTA($C$3:C67),"")</f>
        <v/>
      </c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3"/>
    </row>
    <row r="68" spans="1:14" ht="19.95" customHeight="1" x14ac:dyDescent="0.3">
      <c r="A68" s="9" t="str">
        <f>IF(C68&lt;&gt;"",COUNTA($C$3:C68),"")</f>
        <v/>
      </c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3"/>
    </row>
    <row r="69" spans="1:14" ht="19.95" customHeight="1" x14ac:dyDescent="0.3">
      <c r="A69" s="9" t="str">
        <f>IF(C69&lt;&gt;"",COUNTA($C$3:C69),"")</f>
        <v/>
      </c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3"/>
    </row>
    <row r="70" spans="1:14" ht="19.95" customHeight="1" x14ac:dyDescent="0.3">
      <c r="A70" s="9" t="str">
        <f>IF(C70&lt;&gt;"",COUNTA($C$3:C70),"")</f>
        <v/>
      </c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3"/>
    </row>
    <row r="71" spans="1:14" ht="19.95" customHeight="1" x14ac:dyDescent="0.3">
      <c r="A71" s="9" t="str">
        <f>IF(C71&lt;&gt;"",COUNTA($C$3:C71),"")</f>
        <v/>
      </c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3"/>
    </row>
    <row r="72" spans="1:14" ht="19.95" customHeight="1" x14ac:dyDescent="0.3">
      <c r="A72" s="9" t="str">
        <f>IF(C72&lt;&gt;"",COUNTA($C$3:C72),"")</f>
        <v/>
      </c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</row>
    <row r="73" spans="1:14" ht="19.95" customHeight="1" x14ac:dyDescent="0.3">
      <c r="A73" s="9" t="str">
        <f>IF(C73&lt;&gt;"",COUNTA($C$3:C73),"")</f>
        <v/>
      </c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</row>
    <row r="74" spans="1:14" ht="19.95" customHeight="1" x14ac:dyDescent="0.3">
      <c r="A74" s="9" t="str">
        <f>IF(C74&lt;&gt;"",COUNTA($C$3:C74),"")</f>
        <v/>
      </c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3"/>
    </row>
    <row r="75" spans="1:14" ht="19.95" customHeight="1" x14ac:dyDescent="0.3">
      <c r="A75" s="9" t="str">
        <f>IF(C75&lt;&gt;"",COUNTA($C$3:C75),"")</f>
        <v/>
      </c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</row>
    <row r="76" spans="1:14" ht="19.95" customHeight="1" x14ac:dyDescent="0.3">
      <c r="A76" s="9" t="str">
        <f>IF(C76&lt;&gt;"",COUNTA($C$3:C76),"")</f>
        <v/>
      </c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</row>
    <row r="77" spans="1:14" ht="19.95" customHeight="1" x14ac:dyDescent="0.3">
      <c r="A77" s="9" t="str">
        <f>IF(C77&lt;&gt;"",COUNTA($C$3:C77),"")</f>
        <v/>
      </c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3"/>
    </row>
    <row r="78" spans="1:14" ht="19.95" customHeight="1" x14ac:dyDescent="0.3">
      <c r="A78" s="9" t="str">
        <f>IF(C78&lt;&gt;"",COUNTA($C$3:C78),"")</f>
        <v/>
      </c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3"/>
    </row>
    <row r="79" spans="1:14" ht="19.95" customHeight="1" x14ac:dyDescent="0.3">
      <c r="A79" s="9" t="str">
        <f>IF(C79&lt;&gt;"",COUNTA($C$3:C79),"")</f>
        <v/>
      </c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</row>
    <row r="80" spans="1:14" ht="19.95" customHeight="1" x14ac:dyDescent="0.3">
      <c r="A80" s="9" t="str">
        <f>IF(C80&lt;&gt;"",COUNTA($C$3:C80),"")</f>
        <v/>
      </c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3"/>
    </row>
    <row r="81" spans="1:14" ht="19.95" customHeight="1" x14ac:dyDescent="0.3">
      <c r="A81" s="9" t="str">
        <f>IF(C81&lt;&gt;"",COUNTA($C$3:C81),"")</f>
        <v/>
      </c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3"/>
    </row>
    <row r="82" spans="1:14" ht="19.95" customHeight="1" x14ac:dyDescent="0.3">
      <c r="A82" s="9" t="str">
        <f>IF(C82&lt;&gt;"",COUNTA($C$3:C82),"")</f>
        <v/>
      </c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3"/>
    </row>
    <row r="83" spans="1:14" ht="19.95" customHeight="1" x14ac:dyDescent="0.3">
      <c r="A83" s="9" t="str">
        <f>IF(C83&lt;&gt;"",COUNTA($C$3:C83),"")</f>
        <v/>
      </c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3"/>
    </row>
    <row r="84" spans="1:14" ht="19.95" customHeight="1" x14ac:dyDescent="0.3">
      <c r="A84" s="9" t="str">
        <f>IF(C84&lt;&gt;"",COUNTA($C$3:C84),"")</f>
        <v/>
      </c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3"/>
    </row>
    <row r="85" spans="1:14" ht="19.95" customHeight="1" x14ac:dyDescent="0.3">
      <c r="A85" s="9" t="str">
        <f>IF(C85&lt;&gt;"",COUNTA($C$3:C85),"")</f>
        <v/>
      </c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</row>
    <row r="86" spans="1:14" ht="19.95" customHeight="1" x14ac:dyDescent="0.3">
      <c r="A86" s="9" t="str">
        <f>IF(C86&lt;&gt;"",COUNTA($C$3:C86),"")</f>
        <v/>
      </c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3"/>
    </row>
    <row r="87" spans="1:14" ht="19.95" customHeight="1" x14ac:dyDescent="0.3">
      <c r="A87" s="9" t="str">
        <f>IF(C87&lt;&gt;"",COUNTA($C$3:C87),"")</f>
        <v/>
      </c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3"/>
    </row>
    <row r="88" spans="1:14" ht="19.95" customHeight="1" x14ac:dyDescent="0.3">
      <c r="A88" s="9" t="str">
        <f>IF(C88&lt;&gt;"",COUNTA($C$3:C88),"")</f>
        <v/>
      </c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3"/>
    </row>
    <row r="89" spans="1:14" ht="19.95" customHeight="1" x14ac:dyDescent="0.3">
      <c r="A89" s="9" t="str">
        <f>IF(C89&lt;&gt;"",COUNTA($C$3:C89),"")</f>
        <v/>
      </c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3"/>
    </row>
    <row r="90" spans="1:14" ht="19.95" customHeight="1" x14ac:dyDescent="0.3">
      <c r="A90" s="9" t="str">
        <f>IF(C90&lt;&gt;"",COUNTA($C$3:C90),"")</f>
        <v/>
      </c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3"/>
    </row>
    <row r="91" spans="1:14" ht="19.95" customHeight="1" x14ac:dyDescent="0.3">
      <c r="A91" s="9" t="str">
        <f>IF(C91&lt;&gt;"",COUNTA($C$3:C91),"")</f>
        <v/>
      </c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3"/>
    </row>
    <row r="92" spans="1:14" ht="19.95" customHeight="1" x14ac:dyDescent="0.3">
      <c r="A92" s="9" t="str">
        <f>IF(C92&lt;&gt;"",COUNTA($C$3:C92),"")</f>
        <v/>
      </c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</row>
    <row r="93" spans="1:14" ht="19.95" customHeight="1" x14ac:dyDescent="0.3">
      <c r="A93" s="9" t="str">
        <f>IF(C93&lt;&gt;"",COUNTA($C$3:C93),"")</f>
        <v/>
      </c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</row>
    <row r="94" spans="1:14" ht="19.95" customHeight="1" x14ac:dyDescent="0.3">
      <c r="A94" s="9" t="str">
        <f>IF(C94&lt;&gt;"",COUNTA($C$3:C94),"")</f>
        <v/>
      </c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3"/>
    </row>
    <row r="95" spans="1:14" ht="19.95" customHeight="1" x14ac:dyDescent="0.3">
      <c r="A95" s="9" t="str">
        <f>IF(C95&lt;&gt;"",COUNTA($C$3:C95),"")</f>
        <v/>
      </c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</row>
    <row r="96" spans="1:14" ht="19.95" customHeight="1" x14ac:dyDescent="0.3">
      <c r="A96" s="9" t="str">
        <f>IF(C96&lt;&gt;"",COUNTA($C$3:C96),"")</f>
        <v/>
      </c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3"/>
    </row>
    <row r="97" spans="1:14" ht="19.95" customHeight="1" x14ac:dyDescent="0.3">
      <c r="A97" s="9" t="str">
        <f>IF(C97&lt;&gt;"",COUNTA($C$3:C97),"")</f>
        <v/>
      </c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3"/>
    </row>
    <row r="98" spans="1:14" ht="19.95" customHeight="1" x14ac:dyDescent="0.3">
      <c r="A98" s="9" t="str">
        <f>IF(C98&lt;&gt;"",COUNTA($C$3:C98),"")</f>
        <v/>
      </c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</row>
    <row r="99" spans="1:14" ht="19.95" customHeight="1" x14ac:dyDescent="0.3">
      <c r="A99" s="9" t="str">
        <f>IF(C99&lt;&gt;"",COUNTA($C$3:C99),"")</f>
        <v/>
      </c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</row>
    <row r="100" spans="1:14" ht="19.95" customHeight="1" x14ac:dyDescent="0.3">
      <c r="A100" s="9" t="str">
        <f>IF(C100&lt;&gt;"",COUNTA($C$3:C100),"")</f>
        <v/>
      </c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</row>
    <row r="101" spans="1:14" ht="19.95" customHeight="1" x14ac:dyDescent="0.3">
      <c r="A101" s="9" t="str">
        <f>IF(C101&lt;&gt;"",COUNTA($C$3:C101),"")</f>
        <v/>
      </c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</row>
    <row r="102" spans="1:14" ht="19.95" customHeight="1" x14ac:dyDescent="0.3">
      <c r="A102" s="9" t="str">
        <f>IF(C102&lt;&gt;"",COUNTA($C$3:C102),"")</f>
        <v/>
      </c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</row>
    <row r="103" spans="1:14" ht="19.95" customHeight="1" x14ac:dyDescent="0.3">
      <c r="A103" s="9" t="str">
        <f>IF(C103&lt;&gt;"",COUNTA($C$3:C103),"")</f>
        <v/>
      </c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</row>
    <row r="104" spans="1:14" ht="19.95" customHeight="1" x14ac:dyDescent="0.3">
      <c r="A104" s="9" t="str">
        <f>IF(C104&lt;&gt;"",COUNTA($C$3:C104),"")</f>
        <v/>
      </c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</row>
    <row r="105" spans="1:14" ht="19.95" customHeight="1" x14ac:dyDescent="0.3">
      <c r="A105" s="9" t="str">
        <f>IF(C105&lt;&gt;"",COUNTA($C$3:C105),"")</f>
        <v/>
      </c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</row>
    <row r="106" spans="1:14" ht="19.95" customHeight="1" x14ac:dyDescent="0.3">
      <c r="A106" s="9" t="str">
        <f>IF(C106&lt;&gt;"",COUNTA($C$3:C106),"")</f>
        <v/>
      </c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</row>
    <row r="107" spans="1:14" ht="19.95" customHeight="1" x14ac:dyDescent="0.3">
      <c r="A107" s="9" t="str">
        <f>IF(C107&lt;&gt;"",COUNTA($C$3:C107),"")</f>
        <v/>
      </c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showGridLines="0" topLeftCell="A10" workbookViewId="0">
      <selection sqref="A1:H1"/>
    </sheetView>
  </sheetViews>
  <sheetFormatPr defaultRowHeight="14.4" x14ac:dyDescent="0.3"/>
  <cols>
    <col min="1" max="1" width="3" customWidth="1"/>
    <col min="2" max="7" width="18" customWidth="1"/>
  </cols>
  <sheetData>
    <row r="1" spans="1:8" ht="36" customHeight="1" x14ac:dyDescent="0.3">
      <c r="A1" s="44" t="s">
        <v>60</v>
      </c>
      <c r="B1" s="41"/>
      <c r="C1" s="41"/>
      <c r="D1" s="41"/>
      <c r="E1" s="41"/>
      <c r="F1" s="41"/>
      <c r="G1" s="41"/>
      <c r="H1" s="41"/>
    </row>
    <row r="2" spans="1:8" ht="18" customHeight="1" x14ac:dyDescent="0.3">
      <c r="A2" s="43" t="s">
        <v>61</v>
      </c>
      <c r="B2" s="41"/>
      <c r="C2" s="41"/>
      <c r="D2" s="41"/>
      <c r="E2" s="41"/>
      <c r="F2" s="41"/>
      <c r="G2" s="41"/>
      <c r="H2" s="41"/>
    </row>
    <row r="4" spans="1:8" ht="19.95" customHeight="1" x14ac:dyDescent="0.3">
      <c r="B4" s="10" t="s">
        <v>62</v>
      </c>
      <c r="C4" s="11" t="s">
        <v>63</v>
      </c>
      <c r="D4" s="12" t="s">
        <v>64</v>
      </c>
      <c r="E4" s="13" t="s">
        <v>65</v>
      </c>
      <c r="F4" s="14" t="s">
        <v>66</v>
      </c>
      <c r="G4" s="15" t="s">
        <v>67</v>
      </c>
    </row>
    <row r="5" spans="1:8" ht="49.95" customHeight="1" x14ac:dyDescent="0.3">
      <c r="B5" s="16" t="str">
        <f>'🎯 Active Leads'!A107</f>
        <v/>
      </c>
      <c r="C5" s="17">
        <f>COUNTIF('🎯 Active Leads'!H3:H107,"Yes")</f>
        <v>4</v>
      </c>
      <c r="D5" s="18">
        <f>COUNTIF('🎯 Active Leads'!J3:J107,"&lt;&gt;")-COUNTIF('🎯 Active Leads'!J3:J107,"")</f>
        <v>-97</v>
      </c>
      <c r="E5" s="19">
        <f>COUNTIF('🎯 Active Leads'!K3:K107,"Trial")</f>
        <v>1</v>
      </c>
      <c r="F5" s="20">
        <f>COUNTIF('🎯 Active Leads'!K3:K107,"Paid")</f>
        <v>0</v>
      </c>
      <c r="G5" s="21">
        <f>COUNTIF('🎯 Active Leads'!K3:K107,"Not interested")</f>
        <v>0</v>
      </c>
    </row>
    <row r="7" spans="1:8" ht="24" customHeight="1" x14ac:dyDescent="0.3">
      <c r="B7" s="42" t="s">
        <v>68</v>
      </c>
      <c r="C7" s="41"/>
      <c r="D7" s="41"/>
      <c r="E7" s="41"/>
      <c r="F7" s="41"/>
      <c r="G7" s="41"/>
      <c r="H7" s="41"/>
    </row>
    <row r="8" spans="1:8" ht="22.05" customHeight="1" x14ac:dyDescent="0.3">
      <c r="B8" s="22" t="s">
        <v>69</v>
      </c>
      <c r="C8" s="22" t="s">
        <v>70</v>
      </c>
      <c r="D8" s="22" t="s">
        <v>71</v>
      </c>
      <c r="E8" s="22" t="s">
        <v>72</v>
      </c>
      <c r="F8" s="22" t="s">
        <v>11</v>
      </c>
    </row>
    <row r="9" spans="1:8" ht="19.95" customHeight="1" x14ac:dyDescent="0.3">
      <c r="A9" s="2"/>
      <c r="B9" s="2" t="s">
        <v>73</v>
      </c>
      <c r="C9" s="2" t="s">
        <v>74</v>
      </c>
      <c r="D9" s="23" t="str">
        <f ca="1">IF(C5&gt;0,D9/C5,0)</f>
        <v/>
      </c>
      <c r="E9" s="9" t="s">
        <v>75</v>
      </c>
      <c r="F9" s="24" t="str">
        <f>IF(E9&gt;=0.05,"On Track ✔","Below Target ⚠")</f>
        <v>On Track ✔</v>
      </c>
    </row>
    <row r="10" spans="1:8" ht="19.95" customHeight="1" x14ac:dyDescent="0.3">
      <c r="A10" s="2"/>
      <c r="B10" s="2" t="s">
        <v>76</v>
      </c>
      <c r="C10" s="2" t="s">
        <v>77</v>
      </c>
      <c r="D10" s="23" t="str">
        <f ca="1">IF(D9&gt;0,E9/D9,0)</f>
        <v/>
      </c>
      <c r="E10" s="9" t="s">
        <v>78</v>
      </c>
      <c r="F10" s="24" t="str">
        <f>IF(F9&gt;=0.3,"On Track ✔","Below Target ⚠")</f>
        <v>On Track ✔</v>
      </c>
    </row>
    <row r="11" spans="1:8" ht="19.95" customHeight="1" x14ac:dyDescent="0.3">
      <c r="A11" s="2"/>
      <c r="B11" s="2" t="s">
        <v>79</v>
      </c>
      <c r="C11" s="2" t="s">
        <v>80</v>
      </c>
      <c r="D11" s="23" t="e">
        <f>IF(E9&gt;0,F9/E9,0)</f>
        <v>#VALUE!</v>
      </c>
      <c r="E11" s="9" t="s">
        <v>81</v>
      </c>
      <c r="F11" s="24" t="str">
        <f>IF(G9&gt;=0.15,"On Track ✔","Below Target ⚠")</f>
        <v>Below Target ⚠</v>
      </c>
    </row>
    <row r="12" spans="1:8" ht="19.95" customHeight="1" x14ac:dyDescent="0.3">
      <c r="A12" s="2"/>
      <c r="B12" s="2" t="s">
        <v>82</v>
      </c>
      <c r="C12" s="2" t="s">
        <v>83</v>
      </c>
      <c r="D12" s="23" t="e">
        <f>IF(C5&gt;0,F9/C5,0)</f>
        <v>#VALUE!</v>
      </c>
      <c r="E12" s="9" t="s">
        <v>84</v>
      </c>
      <c r="F12" s="24" t="str">
        <f>IF(H9&gt;=0.01,"On Track ✔","Below Target ⚠")</f>
        <v>Below Target ⚠</v>
      </c>
    </row>
    <row r="14" spans="1:8" ht="24" customHeight="1" x14ac:dyDescent="0.3">
      <c r="B14" s="42" t="s">
        <v>85</v>
      </c>
      <c r="C14" s="41"/>
      <c r="D14" s="41"/>
      <c r="E14" s="41"/>
      <c r="F14" s="41"/>
      <c r="G14" s="41"/>
      <c r="H14" s="41"/>
    </row>
    <row r="15" spans="1:8" ht="22.05" customHeight="1" x14ac:dyDescent="0.3">
      <c r="A15" s="22"/>
      <c r="B15" s="22" t="s">
        <v>6</v>
      </c>
      <c r="C15" s="22" t="s">
        <v>86</v>
      </c>
      <c r="D15" s="22" t="s">
        <v>87</v>
      </c>
    </row>
    <row r="16" spans="1:8" ht="19.95" customHeight="1" x14ac:dyDescent="0.3">
      <c r="B16" s="2" t="s">
        <v>19</v>
      </c>
      <c r="C16" s="25">
        <f>COUNTIF('🎯 Active Leads'!F3:F107,"99acres")</f>
        <v>1</v>
      </c>
      <c r="D16" s="23">
        <f>IF(C5&gt;0,C16/C5,0)</f>
        <v>0.25</v>
      </c>
    </row>
    <row r="17" spans="2:4" ht="19.95" customHeight="1" x14ac:dyDescent="0.3">
      <c r="B17" s="26" t="s">
        <v>47</v>
      </c>
      <c r="C17" s="27">
        <f>COUNTIF('🎯 Active Leads'!F3:F107,"MagicBricks")</f>
        <v>1</v>
      </c>
      <c r="D17" s="28">
        <f>IF(C5&gt;0,C17/C5,0)</f>
        <v>0.25</v>
      </c>
    </row>
    <row r="18" spans="2:4" ht="19.95" customHeight="1" x14ac:dyDescent="0.3">
      <c r="B18" s="2" t="s">
        <v>30</v>
      </c>
      <c r="C18" s="25">
        <f>COUNTIF('🎯 Active Leads'!F3:F107,"LinkedIn")</f>
        <v>1</v>
      </c>
      <c r="D18" s="23">
        <f>IF(C5&gt;0,C18/C5,0)</f>
        <v>0.25</v>
      </c>
    </row>
    <row r="19" spans="2:4" ht="19.95" customHeight="1" x14ac:dyDescent="0.3">
      <c r="B19" s="26" t="s">
        <v>39</v>
      </c>
      <c r="C19" s="27">
        <f>COUNTIF('🎯 Active Leads'!F3:F107,"WhatsApp Group")</f>
        <v>1</v>
      </c>
      <c r="D19" s="28">
        <f>IF(C5&gt;0,C19/C5,0)</f>
        <v>0.25</v>
      </c>
    </row>
    <row r="20" spans="2:4" ht="19.95" customHeight="1" x14ac:dyDescent="0.3">
      <c r="B20" s="2" t="s">
        <v>55</v>
      </c>
      <c r="C20" s="25">
        <f>COUNTIF('🎯 Active Leads'!F3:F107,"Facebook Group")</f>
        <v>1</v>
      </c>
      <c r="D20" s="23">
        <f>IF(C5&gt;0,C20/C5,0)</f>
        <v>0.25</v>
      </c>
    </row>
    <row r="21" spans="2:4" ht="19.95" customHeight="1" x14ac:dyDescent="0.3">
      <c r="B21" s="26" t="s">
        <v>88</v>
      </c>
      <c r="C21" s="27">
        <f>COUNTIF('🎯 Active Leads'!F3:F107,"Referral")</f>
        <v>0</v>
      </c>
      <c r="D21" s="28">
        <f>IF(C5&gt;0,C21/C5,0)</f>
        <v>0</v>
      </c>
    </row>
    <row r="22" spans="2:4" ht="19.95" customHeight="1" x14ac:dyDescent="0.3">
      <c r="B22" s="2" t="s">
        <v>89</v>
      </c>
      <c r="C22" s="25">
        <f>COUNTIF('🎯 Active Leads'!F3:F107,"Other")</f>
        <v>0</v>
      </c>
      <c r="D22" s="23">
        <f>IF(C5&gt;0,C22/C5,0)</f>
        <v>0</v>
      </c>
    </row>
  </sheetData>
  <mergeCells count="4">
    <mergeCell ref="B14:H14"/>
    <mergeCell ref="A2:H2"/>
    <mergeCell ref="B7:H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workbookViewId="0">
      <selection activeCell="E9" sqref="E9"/>
    </sheetView>
  </sheetViews>
  <sheetFormatPr defaultRowHeight="14.4" x14ac:dyDescent="0.3"/>
  <cols>
    <col min="1" max="1" width="32" customWidth="1"/>
    <col min="2" max="2" width="14" customWidth="1"/>
    <col min="3" max="3" width="18" customWidth="1"/>
    <col min="4" max="4" width="12" customWidth="1"/>
    <col min="5" max="5" width="16" customWidth="1"/>
    <col min="6" max="6" width="14" customWidth="1"/>
    <col min="7" max="7" width="36" customWidth="1"/>
  </cols>
  <sheetData>
    <row r="1" spans="1:7" ht="31.95" customHeight="1" x14ac:dyDescent="0.3">
      <c r="A1" s="40" t="s">
        <v>90</v>
      </c>
      <c r="B1" s="41"/>
      <c r="C1" s="41"/>
      <c r="D1" s="41"/>
      <c r="E1" s="41"/>
      <c r="F1" s="41"/>
      <c r="G1" s="41"/>
    </row>
    <row r="2" spans="1:7" ht="28.05" customHeight="1" x14ac:dyDescent="0.3">
      <c r="A2" s="1" t="s">
        <v>91</v>
      </c>
      <c r="B2" s="1" t="s">
        <v>92</v>
      </c>
      <c r="C2" s="1" t="s">
        <v>93</v>
      </c>
      <c r="D2" s="1" t="s">
        <v>94</v>
      </c>
      <c r="E2" s="1" t="s">
        <v>95</v>
      </c>
      <c r="F2" s="1" t="s">
        <v>96</v>
      </c>
      <c r="G2" s="1" t="s">
        <v>14</v>
      </c>
    </row>
    <row r="3" spans="1:7" ht="19.95" customHeight="1" x14ac:dyDescent="0.3">
      <c r="A3" s="3" t="s">
        <v>97</v>
      </c>
      <c r="B3" s="2" t="s">
        <v>98</v>
      </c>
      <c r="C3" s="2" t="s">
        <v>99</v>
      </c>
      <c r="D3" s="2" t="s">
        <v>49</v>
      </c>
      <c r="E3" s="2"/>
      <c r="F3" s="2" t="s">
        <v>100</v>
      </c>
      <c r="G3" s="3" t="s">
        <v>101</v>
      </c>
    </row>
    <row r="4" spans="1:7" ht="19.95" customHeight="1" x14ac:dyDescent="0.3">
      <c r="A4" s="29" t="s">
        <v>102</v>
      </c>
      <c r="B4" s="26" t="s">
        <v>98</v>
      </c>
      <c r="C4" s="26" t="s">
        <v>103</v>
      </c>
      <c r="D4" s="26" t="s">
        <v>49</v>
      </c>
      <c r="E4" s="26"/>
      <c r="F4" s="26" t="s">
        <v>100</v>
      </c>
      <c r="G4" s="29" t="s">
        <v>104</v>
      </c>
    </row>
    <row r="5" spans="1:7" ht="19.95" customHeight="1" x14ac:dyDescent="0.3">
      <c r="A5" s="3" t="s">
        <v>105</v>
      </c>
      <c r="B5" s="2" t="s">
        <v>98</v>
      </c>
      <c r="C5" s="2" t="s">
        <v>106</v>
      </c>
      <c r="D5" s="2" t="s">
        <v>49</v>
      </c>
      <c r="E5" s="2"/>
      <c r="F5" s="2" t="s">
        <v>100</v>
      </c>
      <c r="G5" s="3" t="s">
        <v>107</v>
      </c>
    </row>
    <row r="6" spans="1:7" ht="19.95" customHeight="1" x14ac:dyDescent="0.3">
      <c r="A6" s="29" t="s">
        <v>108</v>
      </c>
      <c r="B6" s="26" t="s">
        <v>109</v>
      </c>
      <c r="C6" s="26" t="s">
        <v>110</v>
      </c>
      <c r="D6" s="26" t="s">
        <v>49</v>
      </c>
      <c r="E6" s="26"/>
      <c r="F6" s="26" t="s">
        <v>100</v>
      </c>
      <c r="G6" s="29" t="s">
        <v>111</v>
      </c>
    </row>
    <row r="7" spans="1:7" ht="19.95" customHeight="1" x14ac:dyDescent="0.3">
      <c r="A7" s="3" t="s">
        <v>112</v>
      </c>
      <c r="B7" s="2" t="s">
        <v>113</v>
      </c>
      <c r="C7" s="2" t="s">
        <v>114</v>
      </c>
      <c r="D7" s="2" t="s">
        <v>49</v>
      </c>
      <c r="E7" s="2"/>
      <c r="F7" s="2" t="s">
        <v>100</v>
      </c>
      <c r="G7" s="3" t="s">
        <v>115</v>
      </c>
    </row>
    <row r="8" spans="1:7" ht="19.95" customHeight="1" x14ac:dyDescent="0.3">
      <c r="A8" s="29" t="s">
        <v>116</v>
      </c>
      <c r="B8" s="26" t="s">
        <v>98</v>
      </c>
      <c r="C8" s="26" t="s">
        <v>117</v>
      </c>
      <c r="D8" s="26" t="s">
        <v>49</v>
      </c>
      <c r="E8" s="26"/>
      <c r="F8" s="26" t="s">
        <v>100</v>
      </c>
      <c r="G8" s="29" t="s">
        <v>118</v>
      </c>
    </row>
    <row r="9" spans="1:7" ht="19.95" customHeight="1" x14ac:dyDescent="0.3">
      <c r="A9" s="30"/>
      <c r="B9" s="30"/>
      <c r="C9" s="30"/>
      <c r="D9" s="30"/>
      <c r="E9" s="30"/>
      <c r="F9" s="30"/>
      <c r="G9" s="30"/>
    </row>
    <row r="10" spans="1:7" ht="19.95" customHeight="1" x14ac:dyDescent="0.3">
      <c r="A10" s="30"/>
      <c r="B10" s="30"/>
      <c r="C10" s="30"/>
      <c r="D10" s="30"/>
      <c r="E10" s="30"/>
      <c r="F10" s="30"/>
      <c r="G10" s="30"/>
    </row>
    <row r="11" spans="1:7" ht="19.95" customHeight="1" x14ac:dyDescent="0.3">
      <c r="A11" s="30"/>
      <c r="B11" s="30"/>
      <c r="C11" s="30"/>
      <c r="D11" s="30"/>
      <c r="E11" s="30"/>
      <c r="F11" s="30"/>
      <c r="G11" s="30"/>
    </row>
    <row r="12" spans="1:7" ht="19.95" customHeight="1" x14ac:dyDescent="0.3">
      <c r="A12" s="30"/>
      <c r="B12" s="30"/>
      <c r="C12" s="30"/>
      <c r="D12" s="30"/>
      <c r="E12" s="30"/>
      <c r="F12" s="30"/>
      <c r="G12" s="30"/>
    </row>
    <row r="13" spans="1:7" ht="19.95" customHeight="1" x14ac:dyDescent="0.3">
      <c r="A13" s="30"/>
      <c r="B13" s="30"/>
      <c r="C13" s="30"/>
      <c r="D13" s="30"/>
      <c r="E13" s="30"/>
      <c r="F13" s="30"/>
      <c r="G13" s="30"/>
    </row>
    <row r="14" spans="1:7" ht="19.95" customHeight="1" x14ac:dyDescent="0.3">
      <c r="A14" s="30"/>
      <c r="B14" s="30"/>
      <c r="C14" s="30"/>
      <c r="D14" s="30"/>
      <c r="E14" s="30"/>
      <c r="F14" s="30"/>
      <c r="G14" s="30"/>
    </row>
    <row r="15" spans="1:7" ht="19.95" customHeight="1" x14ac:dyDescent="0.3">
      <c r="A15" s="30"/>
      <c r="B15" s="30"/>
      <c r="C15" s="30"/>
      <c r="D15" s="30"/>
      <c r="E15" s="30"/>
      <c r="F15" s="30"/>
      <c r="G15" s="30"/>
    </row>
    <row r="16" spans="1:7" ht="19.95" customHeight="1" x14ac:dyDescent="0.3">
      <c r="A16" s="30"/>
      <c r="B16" s="30"/>
      <c r="C16" s="30"/>
      <c r="D16" s="30"/>
      <c r="E16" s="30"/>
      <c r="F16" s="30"/>
      <c r="G16" s="30"/>
    </row>
    <row r="17" spans="1:7" ht="19.95" customHeight="1" x14ac:dyDescent="0.3">
      <c r="A17" s="30"/>
      <c r="B17" s="30"/>
      <c r="C17" s="30"/>
      <c r="D17" s="30"/>
      <c r="E17" s="30"/>
      <c r="F17" s="30"/>
      <c r="G17" s="30"/>
    </row>
    <row r="18" spans="1:7" ht="19.95" customHeight="1" x14ac:dyDescent="0.3">
      <c r="A18" s="30"/>
      <c r="B18" s="30"/>
      <c r="C18" s="30"/>
      <c r="D18" s="30"/>
      <c r="E18" s="30"/>
      <c r="F18" s="30"/>
      <c r="G18" s="30"/>
    </row>
    <row r="19" spans="1:7" ht="19.95" customHeight="1" x14ac:dyDescent="0.3">
      <c r="A19" s="30"/>
      <c r="B19" s="30"/>
      <c r="C19" s="30"/>
      <c r="D19" s="30"/>
      <c r="E19" s="30"/>
      <c r="F19" s="30"/>
      <c r="G19" s="30"/>
    </row>
    <row r="20" spans="1:7" ht="19.95" customHeight="1" x14ac:dyDescent="0.3">
      <c r="A20" s="30"/>
      <c r="B20" s="30"/>
      <c r="C20" s="30"/>
      <c r="D20" s="30"/>
      <c r="E20" s="30"/>
      <c r="F20" s="30"/>
      <c r="G20" s="30"/>
    </row>
    <row r="21" spans="1:7" ht="19.95" customHeight="1" x14ac:dyDescent="0.3">
      <c r="A21" s="30"/>
      <c r="B21" s="30"/>
      <c r="C21" s="30"/>
      <c r="D21" s="30"/>
      <c r="E21" s="30"/>
      <c r="F21" s="30"/>
      <c r="G21" s="30"/>
    </row>
    <row r="22" spans="1:7" ht="19.95" customHeight="1" x14ac:dyDescent="0.3">
      <c r="A22" s="30"/>
      <c r="B22" s="30"/>
      <c r="C22" s="30"/>
      <c r="D22" s="30"/>
      <c r="E22" s="30"/>
      <c r="F22" s="30"/>
      <c r="G22" s="30"/>
    </row>
    <row r="23" spans="1:7" ht="19.95" customHeight="1" x14ac:dyDescent="0.3">
      <c r="A23" s="30"/>
      <c r="B23" s="30"/>
      <c r="C23" s="30"/>
      <c r="D23" s="30"/>
      <c r="E23" s="30"/>
      <c r="F23" s="30"/>
      <c r="G23" s="30"/>
    </row>
    <row r="24" spans="1:7" ht="19.95" customHeight="1" x14ac:dyDescent="0.3">
      <c r="A24" s="30"/>
      <c r="B24" s="30"/>
      <c r="C24" s="30"/>
      <c r="D24" s="30"/>
      <c r="E24" s="30"/>
      <c r="F24" s="30"/>
      <c r="G24" s="30"/>
    </row>
    <row r="25" spans="1:7" ht="19.95" customHeight="1" x14ac:dyDescent="0.3">
      <c r="A25" s="30"/>
      <c r="B25" s="30"/>
      <c r="C25" s="30"/>
      <c r="D25" s="30"/>
      <c r="E25" s="30"/>
      <c r="F25" s="30"/>
      <c r="G25" s="30"/>
    </row>
    <row r="26" spans="1:7" ht="19.95" customHeight="1" x14ac:dyDescent="0.3">
      <c r="A26" s="30"/>
      <c r="B26" s="30"/>
      <c r="C26" s="30"/>
      <c r="D26" s="30"/>
      <c r="E26" s="30"/>
      <c r="F26" s="30"/>
      <c r="G26" s="30"/>
    </row>
    <row r="27" spans="1:7" ht="19.95" customHeight="1" x14ac:dyDescent="0.3">
      <c r="A27" s="30"/>
      <c r="B27" s="30"/>
      <c r="C27" s="30"/>
      <c r="D27" s="30"/>
      <c r="E27" s="30"/>
      <c r="F27" s="30"/>
      <c r="G27" s="30"/>
    </row>
    <row r="28" spans="1:7" ht="19.95" customHeight="1" x14ac:dyDescent="0.3">
      <c r="A28" s="30"/>
      <c r="B28" s="30"/>
      <c r="C28" s="30"/>
      <c r="D28" s="30"/>
      <c r="E28" s="30"/>
      <c r="F28" s="30"/>
      <c r="G28" s="30"/>
    </row>
    <row r="29" spans="1:7" ht="19.95" customHeight="1" x14ac:dyDescent="0.3">
      <c r="A29" s="30"/>
      <c r="B29" s="30"/>
      <c r="C29" s="30"/>
      <c r="D29" s="30"/>
      <c r="E29" s="30"/>
      <c r="F29" s="30"/>
      <c r="G29" s="30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tabSelected="1" workbookViewId="0">
      <selection sqref="A1:F1"/>
    </sheetView>
  </sheetViews>
  <sheetFormatPr defaultRowHeight="14.4" x14ac:dyDescent="0.3"/>
  <cols>
    <col min="1" max="1" width="8" customWidth="1"/>
    <col min="2" max="2" width="10" customWidth="1"/>
    <col min="3" max="3" width="14" customWidth="1"/>
    <col min="4" max="4" width="36" customWidth="1"/>
    <col min="5" max="5" width="18" customWidth="1"/>
    <col min="6" max="6" width="14" customWidth="1"/>
  </cols>
  <sheetData>
    <row r="1" spans="1:6" ht="31.95" customHeight="1" x14ac:dyDescent="0.3">
      <c r="A1" s="40" t="s">
        <v>119</v>
      </c>
      <c r="B1" s="41"/>
      <c r="C1" s="41"/>
      <c r="D1" s="41"/>
      <c r="E1" s="41"/>
      <c r="F1" s="41"/>
    </row>
    <row r="2" spans="1:6" ht="28.05" customHeight="1" x14ac:dyDescent="0.3">
      <c r="A2" s="1" t="s">
        <v>120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11</v>
      </c>
    </row>
    <row r="3" spans="1:6" ht="22.05" customHeight="1" x14ac:dyDescent="0.3">
      <c r="A3" s="31" t="s">
        <v>125</v>
      </c>
      <c r="B3" s="31" t="s">
        <v>126</v>
      </c>
      <c r="C3" s="31" t="s">
        <v>127</v>
      </c>
      <c r="D3" s="32" t="s">
        <v>128</v>
      </c>
      <c r="E3" s="31" t="s">
        <v>129</v>
      </c>
      <c r="F3" s="33" t="s">
        <v>130</v>
      </c>
    </row>
    <row r="4" spans="1:6" ht="22.05" customHeight="1" x14ac:dyDescent="0.3">
      <c r="A4" s="31" t="s">
        <v>125</v>
      </c>
      <c r="B4" s="31" t="s">
        <v>131</v>
      </c>
      <c r="C4" s="31" t="s">
        <v>132</v>
      </c>
      <c r="D4" s="32" t="s">
        <v>133</v>
      </c>
      <c r="E4" s="31" t="s">
        <v>134</v>
      </c>
      <c r="F4" s="33" t="s">
        <v>130</v>
      </c>
    </row>
    <row r="5" spans="1:6" ht="22.05" customHeight="1" x14ac:dyDescent="0.3">
      <c r="A5" s="31" t="s">
        <v>125</v>
      </c>
      <c r="B5" s="31" t="s">
        <v>135</v>
      </c>
      <c r="C5" s="31" t="s">
        <v>136</v>
      </c>
      <c r="D5" s="32" t="s">
        <v>137</v>
      </c>
      <c r="E5" s="31" t="s">
        <v>138</v>
      </c>
      <c r="F5" s="33" t="s">
        <v>130</v>
      </c>
    </row>
    <row r="6" spans="1:6" ht="22.05" customHeight="1" x14ac:dyDescent="0.3">
      <c r="A6" s="34" t="s">
        <v>139</v>
      </c>
      <c r="B6" s="34" t="s">
        <v>126</v>
      </c>
      <c r="C6" s="34" t="s">
        <v>140</v>
      </c>
      <c r="D6" s="35" t="s">
        <v>141</v>
      </c>
      <c r="E6" s="34" t="s">
        <v>134</v>
      </c>
      <c r="F6" s="33" t="s">
        <v>130</v>
      </c>
    </row>
    <row r="7" spans="1:6" ht="22.05" customHeight="1" x14ac:dyDescent="0.3">
      <c r="A7" s="34" t="s">
        <v>139</v>
      </c>
      <c r="B7" s="34" t="s">
        <v>131</v>
      </c>
      <c r="C7" s="34" t="s">
        <v>142</v>
      </c>
      <c r="D7" s="35" t="s">
        <v>143</v>
      </c>
      <c r="E7" s="34" t="s">
        <v>144</v>
      </c>
      <c r="F7" s="33" t="s">
        <v>130</v>
      </c>
    </row>
    <row r="8" spans="1:6" ht="22.05" customHeight="1" x14ac:dyDescent="0.3">
      <c r="A8" s="34" t="s">
        <v>139</v>
      </c>
      <c r="B8" s="34" t="s">
        <v>135</v>
      </c>
      <c r="C8" s="34" t="s">
        <v>145</v>
      </c>
      <c r="D8" s="35" t="s">
        <v>146</v>
      </c>
      <c r="E8" s="34" t="s">
        <v>134</v>
      </c>
      <c r="F8" s="33" t="s">
        <v>130</v>
      </c>
    </row>
    <row r="9" spans="1:6" ht="22.05" customHeight="1" x14ac:dyDescent="0.3">
      <c r="A9" s="36" t="s">
        <v>147</v>
      </c>
      <c r="B9" s="36" t="s">
        <v>126</v>
      </c>
      <c r="C9" s="36" t="s">
        <v>148</v>
      </c>
      <c r="D9" s="37" t="s">
        <v>149</v>
      </c>
      <c r="E9" s="36" t="s">
        <v>150</v>
      </c>
      <c r="F9" s="33" t="s">
        <v>130</v>
      </c>
    </row>
    <row r="10" spans="1:6" ht="22.05" customHeight="1" x14ac:dyDescent="0.3">
      <c r="A10" s="36" t="s">
        <v>147</v>
      </c>
      <c r="B10" s="36" t="s">
        <v>131</v>
      </c>
      <c r="C10" s="36" t="s">
        <v>151</v>
      </c>
      <c r="D10" s="37" t="s">
        <v>152</v>
      </c>
      <c r="E10" s="36" t="s">
        <v>153</v>
      </c>
      <c r="F10" s="33" t="s">
        <v>130</v>
      </c>
    </row>
    <row r="11" spans="1:6" ht="22.05" customHeight="1" x14ac:dyDescent="0.3">
      <c r="A11" s="36" t="s">
        <v>147</v>
      </c>
      <c r="B11" s="36" t="s">
        <v>135</v>
      </c>
      <c r="C11" s="36" t="s">
        <v>154</v>
      </c>
      <c r="D11" s="37" t="s">
        <v>155</v>
      </c>
      <c r="E11" s="36" t="s">
        <v>156</v>
      </c>
      <c r="F11" s="33" t="s">
        <v>130</v>
      </c>
    </row>
    <row r="12" spans="1:6" ht="22.05" customHeight="1" x14ac:dyDescent="0.3">
      <c r="A12" s="38" t="s">
        <v>157</v>
      </c>
      <c r="B12" s="38" t="s">
        <v>126</v>
      </c>
      <c r="C12" s="38" t="s">
        <v>158</v>
      </c>
      <c r="D12" s="39" t="s">
        <v>159</v>
      </c>
      <c r="E12" s="38" t="s">
        <v>160</v>
      </c>
      <c r="F12" s="33" t="s">
        <v>130</v>
      </c>
    </row>
    <row r="13" spans="1:6" ht="22.05" customHeight="1" x14ac:dyDescent="0.3">
      <c r="A13" s="38" t="s">
        <v>157</v>
      </c>
      <c r="B13" s="38" t="s">
        <v>131</v>
      </c>
      <c r="C13" s="38" t="s">
        <v>161</v>
      </c>
      <c r="D13" s="39" t="s">
        <v>162</v>
      </c>
      <c r="E13" s="38" t="s">
        <v>134</v>
      </c>
      <c r="F13" s="33" t="s">
        <v>130</v>
      </c>
    </row>
    <row r="14" spans="1:6" ht="22.05" customHeight="1" x14ac:dyDescent="0.3">
      <c r="A14" s="38" t="s">
        <v>157</v>
      </c>
      <c r="B14" s="38" t="s">
        <v>135</v>
      </c>
      <c r="C14" s="38" t="s">
        <v>163</v>
      </c>
      <c r="D14" s="39" t="s">
        <v>164</v>
      </c>
      <c r="E14" s="38" t="s">
        <v>129</v>
      </c>
      <c r="F14" s="33" t="s">
        <v>130</v>
      </c>
    </row>
    <row r="16" spans="1:6" ht="22.05" customHeight="1" x14ac:dyDescent="0.3">
      <c r="A16" s="45" t="s">
        <v>165</v>
      </c>
      <c r="B16" s="41"/>
      <c r="C16" s="41"/>
      <c r="D16" s="41"/>
      <c r="E16" s="41"/>
      <c r="F16" s="41"/>
    </row>
  </sheetData>
  <mergeCells count="2"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🎯 Active Leads</vt:lpstr>
      <vt:lpstr>📊 Dashboard</vt:lpstr>
      <vt:lpstr>💬 WhatsApp Groups</vt:lpstr>
      <vt:lpstr>📅 LinkedIn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 Piko</cp:lastModifiedBy>
  <dcterms:created xsi:type="dcterms:W3CDTF">2026-04-09T11:58:43Z</dcterms:created>
  <dcterms:modified xsi:type="dcterms:W3CDTF">2026-04-09T21:23:34Z</dcterms:modified>
</cp:coreProperties>
</file>